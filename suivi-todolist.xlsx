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cap" sheetId="1" state="visible" r:id="rId2"/>
    <sheet name="liste des taches" sheetId="2" state="visible" r:id="rId3"/>
    <sheet name="avancement projet" sheetId="3" state="visible" r:id="rId4"/>
    <sheet name="detail" sheetId="4" state="visible" r:id="rId5"/>
  </sheets>
  <calcPr iterateCount="100" refMode="A1" iterate="false" iterateDelta="0.0001"/>
  <pivotCaches>
    <pivotCache cacheId="1" r:id="rId7"/>
  </pivotCaches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<sst xmlns="http://schemas.openxmlformats.org/spreadsheetml/2006/main" count="104" uniqueCount="59">
  <si>
    <t xml:space="preserve">Avancement</t>
  </si>
  <si>
    <t xml:space="preserve">Qui</t>
  </si>
  <si>
    <t xml:space="preserve">Somme de Estimation</t>
  </si>
  <si>
    <t xml:space="preserve">(vide)</t>
  </si>
  <si>
    <t xml:space="preserve">Alan</t>
  </si>
  <si>
    <t xml:space="preserve">Mickaël</t>
  </si>
  <si>
    <t xml:space="preserve">Vinod</t>
  </si>
  <si>
    <t xml:space="preserve">Total Résultat</t>
  </si>
  <si>
    <t xml:space="preserve">Ligne</t>
  </si>
  <si>
    <t xml:space="preserve">Catégorie</t>
  </si>
  <si>
    <t xml:space="preserve">Module</t>
  </si>
  <si>
    <t xml:space="preserve">Nom page</t>
  </si>
  <si>
    <t xml:space="preserve">Description</t>
  </si>
  <si>
    <t xml:space="preserve">Type</t>
  </si>
  <si>
    <t xml:space="preserve">Estimation</t>
  </si>
  <si>
    <t xml:space="preserve">Temps passé</t>
  </si>
  <si>
    <t xml:space="preserve">Reste à faire</t>
  </si>
  <si>
    <t xml:space="preserve">Status</t>
  </si>
  <si>
    <t xml:space="preserve">Structure</t>
  </si>
  <si>
    <t xml:space="preserve">fichier</t>
  </si>
  <si>
    <t xml:space="preserve">Arrangement de fichier</t>
  </si>
  <si>
    <t xml:space="preserve">Framework</t>
  </si>
  <si>
    <t xml:space="preserve">Ok</t>
  </si>
  <si>
    <t xml:space="preserve">Web</t>
  </si>
  <si>
    <t xml:space="preserve">login</t>
  </si>
  <si>
    <t xml:space="preserve">Login pour admin</t>
  </si>
  <si>
    <t xml:space="preserve">fonctionalite</t>
  </si>
  <si>
    <t xml:space="preserve">En cours</t>
  </si>
  <si>
    <t xml:space="preserve">gestion</t>
  </si>
  <si>
    <t xml:space="preserve">Gestion des categorie</t>
  </si>
  <si>
    <t xml:space="preserve">Base</t>
  </si>
  <si>
    <t xml:space="preserve">table</t>
  </si>
  <si>
    <t xml:space="preserve">Conception de base</t>
  </si>
  <si>
    <t xml:space="preserve">conception</t>
  </si>
  <si>
    <t xml:space="preserve">test</t>
  </si>
  <si>
    <t xml:space="preserve">Donnee de test</t>
  </si>
  <si>
    <t xml:space="preserve">donnees</t>
  </si>
  <si>
    <t xml:space="preserve">inscription</t>
  </si>
  <si>
    <t xml:space="preserve">Inscritpion Utilisateur</t>
  </si>
  <si>
    <t xml:space="preserve">Login pour utilisateur</t>
  </si>
  <si>
    <t xml:space="preserve">Gestion des objets</t>
  </si>
  <si>
    <t xml:space="preserve">liste</t>
  </si>
  <si>
    <t xml:space="preserve">Liste objets autre utilisateur</t>
  </si>
  <si>
    <t xml:space="preserve">Gestion des echanges</t>
  </si>
  <si>
    <t xml:space="preserve">Partie 2 :</t>
  </si>
  <si>
    <t xml:space="preserve">Modifier/ajouter des tables</t>
  </si>
  <si>
    <t xml:space="preserve">stats</t>
  </si>
  <si>
    <t xml:space="preserve">Statistique Admin</t>
  </si>
  <si>
    <t xml:space="preserve">filtre</t>
  </si>
  <si>
    <t xml:space="preserve">Barre de recherche</t>
  </si>
  <si>
    <t xml:space="preserve">historique</t>
  </si>
  <si>
    <t xml:space="preserve">Historique d’appartenance d’un objet</t>
  </si>
  <si>
    <t xml:space="preserve">estimation total</t>
  </si>
  <si>
    <t xml:space="preserve">temps passé total</t>
  </si>
  <si>
    <t xml:space="preserve">reste à faire total</t>
  </si>
  <si>
    <t xml:space="preserve">avancement</t>
  </si>
  <si>
    <t xml:space="preserve">dépassement</t>
  </si>
  <si>
    <t xml:space="preserve">heure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</si>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</sst>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\ %"/>
    <numFmt numFmtId="166" formatCode="0\ %"/>
    <numFmt numFmtId="167" formatCode="d/m"/>
  </numFmts>
  <fonts count="9">
    <font>
      <sz val="12"/>
      <color rgb="FF000000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ptos Narrow"/>
      <family val="0"/>
      <charset val="1"/>
    </font>
    <font>
      <b val="true"/>
      <sz val="12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E599"/>
        <bgColor rgb="FFFFFF99"/>
      </patternFill>
    </fill>
    <fill>
      <patternFill patternType="solid">
        <fgColor rgb="FF95DCF7"/>
        <bgColor rgb="FFCCCC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1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1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tégorie de la table dynamique" xfId="20"/>
    <cellStyle name="Champ de la table dynamique" xfId="21"/>
    <cellStyle name="Coin de la table dynamique" xfId="22"/>
    <cellStyle name="Résultat de la table dynamique" xfId="23"/>
    <cellStyle name="Titre de la table dynamique" xfId="24"/>
    <cellStyle name="Valeur de la table dynamique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DCF7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5" createdVersion="3">
  <cacheSource type="worksheet">
    <worksheetSource ref="C1:L20" sheet="liste des taches"/>
  </cacheSource>
  <cacheFields count="10">
    <cacheField name="Module" numFmtId="0">
      <sharedItems containsBlank="1" count="11">
        <s v="fichier"/>
        <s v="filtre"/>
        <s v="gestion"/>
        <s v="historique"/>
        <s v="inscription"/>
        <s v="liste"/>
        <s v="login"/>
        <s v="stats"/>
        <s v="table"/>
        <s v="test"/>
        <m/>
      </sharedItems>
    </cacheField>
    <cacheField name="Nom page" numFmtId="0">
      <sharedItems containsString="0" containsBlank="1" count="1">
        <m/>
      </sharedItems>
    </cacheField>
    <cacheField name="Description" numFmtId="0">
      <sharedItems containsBlank="1" count="16">
        <s v="Arrangement de fichier"/>
        <s v="Barre de recherche"/>
        <s v="Conception de base"/>
        <s v="Donnee de test"/>
        <s v="Gestion des categorie"/>
        <s v="Gestion des echanges"/>
        <s v="Gestion des objets"/>
        <s v="Historique d’appartenance d’un objet"/>
        <s v="Inscritpion Utilisateur"/>
        <s v="Liste objets autre utilisateur"/>
        <s v="Login pour admin"/>
        <s v="Login pour utilisateur"/>
        <s v="Modifier/ajouter des tables"/>
        <s v="Partie 2 :"/>
        <s v="Statistique Admin"/>
        <m/>
      </sharedItems>
    </cacheField>
    <cacheField name="Type" numFmtId="0">
      <sharedItems containsBlank="1" count="5">
        <s v="conception"/>
        <s v="donnees"/>
        <s v="fonctionalite"/>
        <s v="Framework"/>
        <m/>
      </sharedItems>
    </cacheField>
    <cacheField name="Estimation" numFmtId="0">
      <sharedItems containsString="0" containsBlank="1" containsNumber="1" containsInteger="1" minValue="5" maxValue="30" count="8">
        <n v="5"/>
        <n v="8"/>
        <n v="10"/>
        <n v="15"/>
        <n v="20"/>
        <n v="25"/>
        <n v="30"/>
        <m/>
      </sharedItems>
    </cacheField>
    <cacheField name="Temps passé" numFmtId="0">
      <sharedItems containsString="0" containsBlank="1" containsNumber="1" containsInteger="1" minValue="0" maxValue="0" count="2">
        <n v="0"/>
        <m/>
      </sharedItems>
    </cacheField>
    <cacheField name="Reste à faire" numFmtId="0">
      <sharedItems containsString="0" containsBlank="1" containsNumber="1" containsInteger="1" minValue="5" maxValue="30" count="8">
        <n v="5"/>
        <n v="8"/>
        <n v="10"/>
        <n v="15"/>
        <n v="20"/>
        <n v="25"/>
        <n v="30"/>
        <m/>
      </sharedItems>
    </cacheField>
    <cacheField name="Avancement" numFmtId="0">
      <sharedItems containsString="0" containsBlank="1" containsNumber="1" containsInteger="1" minValue="0" maxValue="0" count="2">
        <n v="0"/>
        <m/>
      </sharedItems>
    </cacheField>
    <cacheField name="Qui" numFmtId="0">
      <sharedItems containsBlank="1" count="4">
        <s v="Alan"/>
        <s v="Mickaël"/>
        <s v="Vinod"/>
        <m/>
      </sharedItems>
    </cacheField>
    <cacheField name="Status" numFmtId="0">
      <sharedItems containsBlank="1" count="2">
        <s v="En cours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3"/>
    <x v="1"/>
    <x v="0"/>
    <x v="1"/>
    <x v="0"/>
    <x v="2"/>
    <x v="0"/>
  </r>
  <r>
    <x v="6"/>
    <x v="0"/>
    <x v="10"/>
    <x v="2"/>
    <x v="6"/>
    <x v="0"/>
    <x v="6"/>
    <x v="0"/>
    <x v="0"/>
    <x v="1"/>
  </r>
  <r>
    <x v="2"/>
    <x v="0"/>
    <x v="4"/>
    <x v="2"/>
    <x v="6"/>
    <x v="0"/>
    <x v="6"/>
    <x v="0"/>
    <x v="1"/>
    <x v="1"/>
  </r>
  <r>
    <x v="8"/>
    <x v="0"/>
    <x v="2"/>
    <x v="0"/>
    <x v="3"/>
    <x v="0"/>
    <x v="3"/>
    <x v="0"/>
    <x v="2"/>
    <x v="1"/>
  </r>
  <r>
    <x v="9"/>
    <x v="0"/>
    <x v="3"/>
    <x v="1"/>
    <x v="0"/>
    <x v="0"/>
    <x v="0"/>
    <x v="0"/>
    <x v="2"/>
    <x v="1"/>
  </r>
  <r>
    <x v="4"/>
    <x v="0"/>
    <x v="8"/>
    <x v="2"/>
    <x v="4"/>
    <x v="0"/>
    <x v="4"/>
    <x v="0"/>
    <x v="1"/>
    <x v="1"/>
  </r>
  <r>
    <x v="6"/>
    <x v="0"/>
    <x v="11"/>
    <x v="2"/>
    <x v="4"/>
    <x v="0"/>
    <x v="4"/>
    <x v="0"/>
    <x v="0"/>
    <x v="1"/>
  </r>
  <r>
    <x v="2"/>
    <x v="0"/>
    <x v="6"/>
    <x v="2"/>
    <x v="6"/>
    <x v="0"/>
    <x v="6"/>
    <x v="0"/>
    <x v="2"/>
    <x v="1"/>
  </r>
  <r>
    <x v="5"/>
    <x v="0"/>
    <x v="9"/>
    <x v="2"/>
    <x v="3"/>
    <x v="0"/>
    <x v="3"/>
    <x v="0"/>
    <x v="1"/>
    <x v="1"/>
  </r>
  <r>
    <x v="2"/>
    <x v="0"/>
    <x v="5"/>
    <x v="2"/>
    <x v="5"/>
    <x v="0"/>
    <x v="5"/>
    <x v="0"/>
    <x v="0"/>
    <x v="1"/>
  </r>
  <r>
    <x v="10"/>
    <x v="0"/>
    <x v="13"/>
    <x v="4"/>
    <x v="7"/>
    <x v="1"/>
    <x v="7"/>
    <x v="1"/>
    <x v="3"/>
    <x v="1"/>
  </r>
  <r>
    <x v="8"/>
    <x v="0"/>
    <x v="12"/>
    <x v="0"/>
    <x v="2"/>
    <x v="0"/>
    <x v="2"/>
    <x v="0"/>
    <x v="2"/>
    <x v="1"/>
  </r>
  <r>
    <x v="7"/>
    <x v="0"/>
    <x v="14"/>
    <x v="2"/>
    <x v="4"/>
    <x v="0"/>
    <x v="4"/>
    <x v="0"/>
    <x v="0"/>
    <x v="1"/>
  </r>
  <r>
    <x v="1"/>
    <x v="0"/>
    <x v="1"/>
    <x v="2"/>
    <x v="6"/>
    <x v="0"/>
    <x v="6"/>
    <x v="0"/>
    <x v="1"/>
    <x v="1"/>
  </r>
  <r>
    <x v="3"/>
    <x v="0"/>
    <x v="7"/>
    <x v="2"/>
    <x v="5"/>
    <x v="0"/>
    <x v="5"/>
    <x v="0"/>
    <x v="2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Recap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3:B8" firstHeaderRow="1" firstDataRow="1" firstDataCol="1"/>
  <pivotFields count="10">
    <pivotField compact="0" showAll="0" outline="0"/>
    <pivotField compact="0" showAll="0" outline="0"/>
    <pivotField compact="0" showAll="0" outline="0"/>
    <pivotField compact="0" showAll="0" outline="0"/>
    <pivotField dataField="1" compact="0" showAll="0" outline="0"/>
    <pivotField compact="0" showAll="0" outline="0"/>
    <pivotField compact="0" showAll="0" outline="0"/>
    <pivotField compact="0" showAll="0" outline="0"/>
    <pivotField axis="axisRow" compact="0" showAll="0" outline="0">
      <items count="5">
        <item x="3"/>
        <item x="0"/>
        <item x="1"/>
        <item x="2"/>
        <item t="default"/>
      </items>
    </pivotField>
    <pivotField compact="0" showAll="0" outline="0"/>
  </pivotFields>
  <rowFields count="1">
    <field x="8"/>
  </rowFields>
  <dataFields count="1">
    <dataField name="Somme de Estimation" fld="4" subtotal="sum" numFmtId="164"/>
  </dataFields>
  <pivotTableStyleInfo name="PivotStyleLight16" showRowHeaders="1" showColHeaders="1" showRowStripes="0" showColStripes="0" showLastColumn="1"/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238281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9.44"/>
    <col collapsed="false" customWidth="true" hidden="false" outlineLevel="0" max="26" min="3" style="0" width="10.56"/>
  </cols>
  <sheetData>
    <row r="1" customFormat="false" ht="15.75" hidden="false" customHeight="true" outlineLevel="0" collapsed="false">
      <c r="A1" s="1" t="s">
        <v>0</v>
      </c>
      <c r="B1" s="2" t="n">
        <f aca="false">'avancement projet'!D2</f>
        <v>0.0636042402826855</v>
      </c>
    </row>
    <row r="2" customFormat="false" ht="15.75" hidden="false" customHeight="true" outlineLevel="0" collapsed="false">
      <c r="A2" s="3" t="s">
        <v>1</v>
      </c>
      <c r="B2" s="4" t="s">
        <v>2</v>
      </c>
    </row>
    <row r="3" customFormat="false" ht="15.75" hidden="false" customHeight="true" outlineLevel="0" collapsed="false">
      <c r="A3" s="5" t="s">
        <v>1</v>
      </c>
      <c r="B3" s="6" t="s">
        <v>2</v>
      </c>
    </row>
    <row r="4" customFormat="false" ht="15.75" hidden="false" customHeight="true" outlineLevel="0" collapsed="false">
      <c r="A4" s="7" t="s">
        <v>3</v>
      </c>
      <c r="B4" s="8"/>
    </row>
    <row r="5" customFormat="false" ht="15.75" hidden="false" customHeight="true" outlineLevel="0" collapsed="false">
      <c r="A5" s="9" t="s">
        <v>4</v>
      </c>
      <c r="B5" s="10" t="n">
        <v>95</v>
      </c>
    </row>
    <row r="6" customFormat="false" ht="15.75" hidden="false" customHeight="true" outlineLevel="0" collapsed="false">
      <c r="A6" s="9" t="s">
        <v>5</v>
      </c>
      <c r="B6" s="10" t="n">
        <v>95</v>
      </c>
    </row>
    <row r="7" customFormat="false" ht="15.75" hidden="false" customHeight="true" outlineLevel="0" collapsed="false">
      <c r="A7" s="9" t="s">
        <v>6</v>
      </c>
      <c r="B7" s="11" t="n">
        <v>93</v>
      </c>
    </row>
    <row r="8" customFormat="false" ht="15.75" hidden="false" customHeight="true" outlineLevel="0" collapsed="false">
      <c r="A8" s="12" t="s">
        <v>7</v>
      </c>
      <c r="B8" s="13" t="n">
        <v>283</v>
      </c>
    </row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5" activeCellId="0" sqref="J5"/>
    </sheetView>
  </sheetViews>
  <sheetFormatPr defaultColWidth="11.23828125" defaultRowHeight="15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13.21"/>
    <col collapsed="false" customWidth="true" hidden="false" outlineLevel="0" max="3" min="3" style="0" width="8.67"/>
    <col collapsed="false" customWidth="true" hidden="false" outlineLevel="0" max="4" min="4" style="0" width="18"/>
    <col collapsed="false" customWidth="true" hidden="false" outlineLevel="0" max="5" min="5" style="0" width="32.82"/>
    <col collapsed="false" customWidth="true" hidden="false" outlineLevel="0" max="6" min="6" style="0" width="15.11"/>
    <col collapsed="false" customWidth="true" hidden="false" outlineLevel="0" max="7" min="7" style="0" width="10.56"/>
    <col collapsed="false" customWidth="true" hidden="false" outlineLevel="0" max="10" min="8" style="0" width="12"/>
    <col collapsed="false" customWidth="true" hidden="false" outlineLevel="0" max="11" min="11" style="0" width="12.11"/>
    <col collapsed="false" customWidth="true" hidden="false" outlineLevel="0" max="28" min="12" style="0" width="10.56"/>
  </cols>
  <sheetData>
    <row r="1" customFormat="false" ht="15.75" hidden="false" customHeight="true" outlineLevel="0" collapsed="false">
      <c r="A1" s="14" t="s">
        <v>8</v>
      </c>
      <c r="B1" s="14" t="s">
        <v>9</v>
      </c>
      <c r="C1" s="15" t="s">
        <v>10</v>
      </c>
      <c r="D1" s="15" t="s">
        <v>11</v>
      </c>
      <c r="E1" s="15" t="s">
        <v>12</v>
      </c>
      <c r="F1" s="15" t="s">
        <v>13</v>
      </c>
      <c r="G1" s="15" t="s">
        <v>14</v>
      </c>
      <c r="H1" s="15" t="s">
        <v>15</v>
      </c>
      <c r="I1" s="15" t="s">
        <v>16</v>
      </c>
      <c r="J1" s="15" t="s">
        <v>0</v>
      </c>
      <c r="K1" s="15" t="s">
        <v>1</v>
      </c>
      <c r="L1" s="15" t="s">
        <v>17</v>
      </c>
    </row>
    <row r="2" customFormat="false" ht="15.75" hidden="false" customHeight="true" outlineLevel="0" collapsed="false">
      <c r="A2" s="16" t="n">
        <v>1</v>
      </c>
      <c r="B2" s="0" t="s">
        <v>18</v>
      </c>
      <c r="C2" s="0" t="s">
        <v>19</v>
      </c>
      <c r="E2" s="0" t="s">
        <v>20</v>
      </c>
      <c r="F2" s="17" t="s">
        <v>21</v>
      </c>
      <c r="G2" s="17" t="n">
        <v>8</v>
      </c>
      <c r="H2" s="17" t="n">
        <f aca="false">detail!B2</f>
        <v>3</v>
      </c>
      <c r="I2" s="17" t="n">
        <f aca="false">G2-H2</f>
        <v>5</v>
      </c>
      <c r="J2" s="18" t="n">
        <f aca="false">(H2/(H2+I2))</f>
        <v>0.375</v>
      </c>
      <c r="K2" s="17" t="s">
        <v>6</v>
      </c>
      <c r="L2" s="0" t="s">
        <v>22</v>
      </c>
    </row>
    <row r="3" customFormat="false" ht="15.75" hidden="false" customHeight="true" outlineLevel="0" collapsed="false">
      <c r="A3" s="16" t="n">
        <v>2</v>
      </c>
      <c r="B3" s="16" t="s">
        <v>23</v>
      </c>
      <c r="C3" s="17" t="s">
        <v>24</v>
      </c>
      <c r="D3" s="17"/>
      <c r="E3" s="17" t="s">
        <v>25</v>
      </c>
      <c r="F3" s="17" t="s">
        <v>26</v>
      </c>
      <c r="G3" s="17" t="n">
        <v>30</v>
      </c>
      <c r="H3" s="17" t="n">
        <f aca="false">detail!B3</f>
        <v>0</v>
      </c>
      <c r="I3" s="17" t="n">
        <f aca="false">G3-H3</f>
        <v>30</v>
      </c>
      <c r="J3" s="18" t="n">
        <f aca="false">(H3/(H3+I3))</f>
        <v>0</v>
      </c>
      <c r="K3" s="17" t="s">
        <v>4</v>
      </c>
      <c r="L3" s="0" t="s">
        <v>27</v>
      </c>
    </row>
    <row r="4" customFormat="false" ht="15.75" hidden="false" customHeight="true" outlineLevel="0" collapsed="false">
      <c r="A4" s="16" t="n">
        <v>3</v>
      </c>
      <c r="B4" s="16" t="s">
        <v>23</v>
      </c>
      <c r="C4" s="17" t="s">
        <v>28</v>
      </c>
      <c r="D4" s="17"/>
      <c r="E4" s="17" t="s">
        <v>29</v>
      </c>
      <c r="F4" s="17" t="s">
        <v>26</v>
      </c>
      <c r="G4" s="17" t="n">
        <v>30</v>
      </c>
      <c r="H4" s="17" t="n">
        <f aca="false">detail!B4</f>
        <v>0</v>
      </c>
      <c r="I4" s="17" t="n">
        <f aca="false">G4-H4</f>
        <v>30</v>
      </c>
      <c r="J4" s="18" t="n">
        <f aca="false">(H4/(H4+I4))</f>
        <v>0</v>
      </c>
      <c r="K4" s="17" t="s">
        <v>5</v>
      </c>
    </row>
    <row r="5" customFormat="false" ht="15.75" hidden="false" customHeight="true" outlineLevel="0" collapsed="false">
      <c r="A5" s="16" t="n">
        <v>4</v>
      </c>
      <c r="B5" s="16" t="s">
        <v>30</v>
      </c>
      <c r="C5" s="17" t="s">
        <v>31</v>
      </c>
      <c r="D5" s="17"/>
      <c r="E5" s="17" t="s">
        <v>32</v>
      </c>
      <c r="F5" s="17" t="s">
        <v>33</v>
      </c>
      <c r="G5" s="17" t="n">
        <v>15</v>
      </c>
      <c r="H5" s="17" t="n">
        <f aca="false">detail!B5</f>
        <v>15</v>
      </c>
      <c r="I5" s="17" t="n">
        <f aca="false">G5-H5</f>
        <v>0</v>
      </c>
      <c r="J5" s="18" t="n">
        <f aca="false">(H5/(H5+I5))</f>
        <v>1</v>
      </c>
      <c r="K5" s="17" t="s">
        <v>6</v>
      </c>
      <c r="L5" s="0" t="s">
        <v>22</v>
      </c>
    </row>
    <row r="6" customFormat="false" ht="15.75" hidden="false" customHeight="true" outlineLevel="0" collapsed="false">
      <c r="A6" s="16" t="n">
        <v>5</v>
      </c>
      <c r="B6" s="16" t="s">
        <v>30</v>
      </c>
      <c r="C6" s="17" t="s">
        <v>34</v>
      </c>
      <c r="D6" s="17"/>
      <c r="E6" s="17" t="s">
        <v>35</v>
      </c>
      <c r="F6" s="17" t="s">
        <v>36</v>
      </c>
      <c r="G6" s="17" t="n">
        <v>5</v>
      </c>
      <c r="H6" s="17" t="n">
        <f aca="false">detail!B6</f>
        <v>0</v>
      </c>
      <c r="I6" s="17" t="n">
        <f aca="false">G6-H6</f>
        <v>5</v>
      </c>
      <c r="J6" s="18" t="n">
        <f aca="false">(H6/(H6+I6))</f>
        <v>0</v>
      </c>
      <c r="K6" s="17" t="s">
        <v>6</v>
      </c>
    </row>
    <row r="7" customFormat="false" ht="15.75" hidden="false" customHeight="true" outlineLevel="0" collapsed="false">
      <c r="A7" s="16" t="n">
        <v>6</v>
      </c>
      <c r="B7" s="16" t="s">
        <v>23</v>
      </c>
      <c r="C7" s="0" t="s">
        <v>37</v>
      </c>
      <c r="D7" s="17"/>
      <c r="E7" s="17" t="s">
        <v>38</v>
      </c>
      <c r="F7" s="17" t="s">
        <v>26</v>
      </c>
      <c r="G7" s="17" t="n">
        <v>20</v>
      </c>
      <c r="H7" s="17" t="n">
        <f aca="false">detail!B7</f>
        <v>0</v>
      </c>
      <c r="I7" s="17" t="n">
        <f aca="false">G7-H7</f>
        <v>20</v>
      </c>
      <c r="J7" s="18" t="n">
        <f aca="false">(H7/(H7+I7))</f>
        <v>0</v>
      </c>
      <c r="K7" s="0" t="s">
        <v>5</v>
      </c>
    </row>
    <row r="8" customFormat="false" ht="15.75" hidden="false" customHeight="true" outlineLevel="0" collapsed="false">
      <c r="A8" s="16" t="n">
        <v>7</v>
      </c>
      <c r="B8" s="16" t="s">
        <v>23</v>
      </c>
      <c r="C8" s="0" t="s">
        <v>24</v>
      </c>
      <c r="E8" s="0" t="s">
        <v>39</v>
      </c>
      <c r="F8" s="0" t="s">
        <v>26</v>
      </c>
      <c r="G8" s="17" t="n">
        <v>20</v>
      </c>
      <c r="H8" s="17" t="n">
        <f aca="false">detail!B8</f>
        <v>0</v>
      </c>
      <c r="I8" s="17" t="n">
        <f aca="false">G8-H8</f>
        <v>20</v>
      </c>
      <c r="J8" s="18" t="n">
        <f aca="false">(H8/(H8+I8))</f>
        <v>0</v>
      </c>
      <c r="K8" s="0" t="s">
        <v>4</v>
      </c>
    </row>
    <row r="9" customFormat="false" ht="15.75" hidden="false" customHeight="true" outlineLevel="0" collapsed="false">
      <c r="A9" s="0" t="n">
        <v>8</v>
      </c>
      <c r="B9" s="0" t="s">
        <v>23</v>
      </c>
      <c r="C9" s="0" t="s">
        <v>28</v>
      </c>
      <c r="E9" s="0" t="s">
        <v>40</v>
      </c>
      <c r="F9" s="0" t="s">
        <v>26</v>
      </c>
      <c r="G9" s="0" t="n">
        <v>30</v>
      </c>
      <c r="H9" s="17" t="n">
        <f aca="false">detail!B9</f>
        <v>0</v>
      </c>
      <c r="I9" s="17" t="n">
        <f aca="false">G9-H9</f>
        <v>30</v>
      </c>
      <c r="J9" s="18" t="n">
        <f aca="false">(H9/(H9+I9))</f>
        <v>0</v>
      </c>
      <c r="K9" s="0" t="s">
        <v>6</v>
      </c>
    </row>
    <row r="10" customFormat="false" ht="15.75" hidden="false" customHeight="true" outlineLevel="0" collapsed="false">
      <c r="A10" s="0" t="n">
        <v>9</v>
      </c>
      <c r="B10" s="0" t="s">
        <v>23</v>
      </c>
      <c r="C10" s="0" t="s">
        <v>41</v>
      </c>
      <c r="E10" s="0" t="s">
        <v>42</v>
      </c>
      <c r="F10" s="0" t="s">
        <v>26</v>
      </c>
      <c r="G10" s="0" t="n">
        <v>15</v>
      </c>
      <c r="H10" s="17" t="n">
        <f aca="false">detail!B10</f>
        <v>0</v>
      </c>
      <c r="I10" s="17" t="n">
        <f aca="false">G10-H10</f>
        <v>15</v>
      </c>
      <c r="J10" s="18" t="n">
        <f aca="false">(H10/(H10+I10))</f>
        <v>0</v>
      </c>
      <c r="K10" s="0" t="s">
        <v>5</v>
      </c>
    </row>
    <row r="11" customFormat="false" ht="15.75" hidden="false" customHeight="true" outlineLevel="0" collapsed="false">
      <c r="A11" s="0" t="n">
        <v>10</v>
      </c>
      <c r="B11" s="0" t="s">
        <v>23</v>
      </c>
      <c r="C11" s="0" t="s">
        <v>28</v>
      </c>
      <c r="E11" s="0" t="s">
        <v>43</v>
      </c>
      <c r="F11" s="0" t="s">
        <v>26</v>
      </c>
      <c r="G11" s="0" t="n">
        <v>25</v>
      </c>
      <c r="H11" s="17" t="n">
        <f aca="false">detail!B11</f>
        <v>0</v>
      </c>
      <c r="I11" s="17" t="n">
        <f aca="false">G11-H11</f>
        <v>25</v>
      </c>
      <c r="J11" s="18" t="n">
        <f aca="false">(H11/(H11+I11))</f>
        <v>0</v>
      </c>
      <c r="K11" s="0" t="s">
        <v>4</v>
      </c>
    </row>
    <row r="12" customFormat="false" ht="15.75" hidden="false" customHeight="true" outlineLevel="0" collapsed="false">
      <c r="E12" s="0" t="s">
        <v>44</v>
      </c>
    </row>
    <row r="13" customFormat="false" ht="15.75" hidden="false" customHeight="true" outlineLevel="0" collapsed="false">
      <c r="A13" s="0" t="n">
        <v>11</v>
      </c>
      <c r="B13" s="0" t="s">
        <v>30</v>
      </c>
      <c r="C13" s="0" t="s">
        <v>31</v>
      </c>
      <c r="E13" s="0" t="s">
        <v>45</v>
      </c>
      <c r="F13" s="0" t="s">
        <v>33</v>
      </c>
      <c r="G13" s="0" t="n">
        <v>10</v>
      </c>
      <c r="H13" s="17" t="n">
        <f aca="false">detail!B13</f>
        <v>0</v>
      </c>
      <c r="I13" s="17" t="n">
        <f aca="false">G13-H13</f>
        <v>10</v>
      </c>
      <c r="J13" s="18" t="n">
        <f aca="false">(H13/(H13+I13))</f>
        <v>0</v>
      </c>
      <c r="K13" s="0" t="s">
        <v>6</v>
      </c>
    </row>
    <row r="14" customFormat="false" ht="15.75" hidden="false" customHeight="true" outlineLevel="0" collapsed="false">
      <c r="A14" s="0" t="n">
        <v>12</v>
      </c>
      <c r="B14" s="0" t="s">
        <v>23</v>
      </c>
      <c r="C14" s="0" t="s">
        <v>46</v>
      </c>
      <c r="E14" s="0" t="s">
        <v>47</v>
      </c>
      <c r="F14" s="0" t="s">
        <v>26</v>
      </c>
      <c r="G14" s="0" t="n">
        <v>20</v>
      </c>
      <c r="H14" s="17" t="n">
        <f aca="false">detail!B14</f>
        <v>0</v>
      </c>
      <c r="I14" s="17" t="n">
        <f aca="false">G14-H14</f>
        <v>20</v>
      </c>
      <c r="J14" s="18" t="n">
        <f aca="false">(H14/(H14+I14))</f>
        <v>0</v>
      </c>
      <c r="K14" s="0" t="s">
        <v>4</v>
      </c>
    </row>
    <row r="15" customFormat="false" ht="15.75" hidden="false" customHeight="true" outlineLevel="0" collapsed="false">
      <c r="A15" s="0" t="n">
        <v>13</v>
      </c>
      <c r="B15" s="0" t="s">
        <v>23</v>
      </c>
      <c r="C15" s="0" t="s">
        <v>48</v>
      </c>
      <c r="E15" s="0" t="s">
        <v>49</v>
      </c>
      <c r="F15" s="0" t="s">
        <v>26</v>
      </c>
      <c r="G15" s="0" t="n">
        <v>30</v>
      </c>
      <c r="H15" s="17" t="n">
        <f aca="false">detail!B15</f>
        <v>0</v>
      </c>
      <c r="I15" s="17" t="n">
        <f aca="false">G15-H15</f>
        <v>30</v>
      </c>
      <c r="J15" s="18" t="n">
        <f aca="false">(H15/(H15+I15))</f>
        <v>0</v>
      </c>
      <c r="K15" s="0" t="s">
        <v>5</v>
      </c>
    </row>
    <row r="16" customFormat="false" ht="15.75" hidden="false" customHeight="true" outlineLevel="0" collapsed="false">
      <c r="A16" s="0" t="n">
        <v>14</v>
      </c>
      <c r="B16" s="0" t="s">
        <v>23</v>
      </c>
      <c r="C16" s="0" t="s">
        <v>50</v>
      </c>
      <c r="E16" s="0" t="s">
        <v>51</v>
      </c>
      <c r="F16" s="0" t="s">
        <v>26</v>
      </c>
      <c r="G16" s="0" t="n">
        <v>25</v>
      </c>
      <c r="H16" s="17" t="n">
        <f aca="false">detail!B16</f>
        <v>0</v>
      </c>
      <c r="I16" s="17" t="n">
        <f aca="false">G16-H16</f>
        <v>25</v>
      </c>
      <c r="J16" s="18" t="n">
        <f aca="false">(H16/(H16+I16))</f>
        <v>0</v>
      </c>
      <c r="K16" s="0" t="s">
        <v>6</v>
      </c>
    </row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3828125" defaultRowHeight="15" zeroHeight="false" outlineLevelRow="0" outlineLevelCol="0"/>
  <cols>
    <col collapsed="false" customWidth="true" hidden="false" outlineLevel="0" max="1" min="1" style="0" width="25.44"/>
    <col collapsed="false" customWidth="true" hidden="false" outlineLevel="0" max="2" min="2" style="0" width="25.78"/>
    <col collapsed="false" customWidth="true" hidden="false" outlineLevel="0" max="3" min="3" style="0" width="30.78"/>
    <col collapsed="false" customWidth="true" hidden="false" outlineLevel="0" max="4" min="4" style="0" width="12.44"/>
    <col collapsed="false" customWidth="true" hidden="false" outlineLevel="0" max="5" min="5" style="0" width="22.44"/>
    <col collapsed="false" customWidth="true" hidden="false" outlineLevel="0" max="26" min="6" style="0" width="10.56"/>
  </cols>
  <sheetData>
    <row r="1" customFormat="false" ht="15.75" hidden="false" customHeight="true" outlineLevel="0" collapsed="false">
      <c r="A1" s="15" t="s">
        <v>52</v>
      </c>
      <c r="B1" s="15" t="s">
        <v>53</v>
      </c>
      <c r="C1" s="15" t="s">
        <v>54</v>
      </c>
      <c r="D1" s="15" t="s">
        <v>55</v>
      </c>
      <c r="E1" s="15" t="s">
        <v>56</v>
      </c>
    </row>
    <row r="2" customFormat="false" ht="15.75" hidden="false" customHeight="true" outlineLevel="0" collapsed="false">
      <c r="A2" s="17" t="n">
        <f aca="false">SUM('liste des taches'!G2:G329)</f>
        <v>283</v>
      </c>
      <c r="B2" s="17" t="n">
        <f aca="false">SUM('liste des taches'!H2:H329)</f>
        <v>18</v>
      </c>
      <c r="C2" s="17" t="n">
        <f aca="false">SUM('liste des taches'!I2:I329)</f>
        <v>265</v>
      </c>
      <c r="D2" s="18" t="n">
        <f aca="false">(B2/(B2+C2))</f>
        <v>0.0636042402826855</v>
      </c>
      <c r="E2" s="19" t="n">
        <f aca="false">((B2+C2)-A2)/A2</f>
        <v>0</v>
      </c>
    </row>
    <row r="3" customFormat="false" ht="15.75" hidden="false" customHeight="true" outlineLevel="0" collapsed="false">
      <c r="C3" s="17" t="n">
        <f aca="false">C2/60</f>
        <v>4.41666666666667</v>
      </c>
      <c r="D3" s="17" t="s">
        <v>57</v>
      </c>
    </row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1.23828125" defaultRowHeight="15" zeroHeight="false" outlineLevelRow="0" outlineLevelCol="0"/>
  <cols>
    <col collapsed="false" customWidth="true" hidden="false" outlineLevel="0" max="28" min="1" style="0" width="10.56"/>
  </cols>
  <sheetData>
    <row r="1" customFormat="false" ht="15.75" hidden="false" customHeight="true" outlineLevel="0" collapsed="false">
      <c r="A1" s="14" t="s">
        <v>8</v>
      </c>
      <c r="B1" s="1" t="s">
        <v>58</v>
      </c>
      <c r="C1" s="20" t="n">
        <v>46062</v>
      </c>
    </row>
    <row r="2" customFormat="false" ht="15.75" hidden="false" customHeight="true" outlineLevel="0" collapsed="false">
      <c r="A2" s="16" t="n">
        <v>1</v>
      </c>
      <c r="B2" s="17" t="n">
        <f aca="false">SUM(C2:P2)</f>
        <v>3</v>
      </c>
      <c r="C2" s="16" t="n">
        <v>3</v>
      </c>
    </row>
    <row r="3" customFormat="false" ht="15.75" hidden="false" customHeight="true" outlineLevel="0" collapsed="false">
      <c r="A3" s="16" t="n">
        <v>2</v>
      </c>
      <c r="B3" s="17" t="n">
        <f aca="false">SUM(C3:P3)</f>
        <v>0</v>
      </c>
    </row>
    <row r="4" customFormat="false" ht="15.75" hidden="false" customHeight="true" outlineLevel="0" collapsed="false">
      <c r="A4" s="16" t="n">
        <v>3</v>
      </c>
      <c r="B4" s="17" t="n">
        <f aca="false">SUM(C4:P4)</f>
        <v>0</v>
      </c>
    </row>
    <row r="5" customFormat="false" ht="15.75" hidden="false" customHeight="true" outlineLevel="0" collapsed="false">
      <c r="A5" s="16" t="n">
        <v>4</v>
      </c>
      <c r="B5" s="17" t="n">
        <f aca="false">SUM(C5:P5)</f>
        <v>15</v>
      </c>
      <c r="C5" s="0" t="n">
        <v>15</v>
      </c>
    </row>
    <row r="6" customFormat="false" ht="15.75" hidden="false" customHeight="true" outlineLevel="0" collapsed="false">
      <c r="A6" s="16" t="n">
        <v>5</v>
      </c>
      <c r="B6" s="17" t="n">
        <f aca="false">SUM(C6:P6)</f>
        <v>0</v>
      </c>
    </row>
    <row r="7" customFormat="false" ht="15.75" hidden="false" customHeight="true" outlineLevel="0" collapsed="false">
      <c r="A7" s="16" t="n">
        <v>6</v>
      </c>
      <c r="B7" s="17" t="n">
        <f aca="false">SUM(C7:P7)</f>
        <v>0</v>
      </c>
    </row>
    <row r="8" customFormat="false" ht="15.75" hidden="false" customHeight="true" outlineLevel="0" collapsed="false">
      <c r="A8" s="16" t="n">
        <v>7</v>
      </c>
      <c r="B8" s="17" t="n">
        <f aca="false">SUM(C8:P8)</f>
        <v>0</v>
      </c>
    </row>
    <row r="9" customFormat="false" ht="15.75" hidden="false" customHeight="true" outlineLevel="0" collapsed="false">
      <c r="A9" s="0" t="n">
        <v>8</v>
      </c>
      <c r="B9" s="0" t="n">
        <v>0</v>
      </c>
    </row>
    <row r="10" customFormat="false" ht="15.75" hidden="false" customHeight="true" outlineLevel="0" collapsed="false">
      <c r="A10" s="0" t="n">
        <v>9</v>
      </c>
      <c r="B10" s="0" t="n">
        <v>0</v>
      </c>
    </row>
    <row r="11" customFormat="false" ht="15.75" hidden="false" customHeight="true" outlineLevel="0" collapsed="false">
      <c r="A11" s="0" t="n">
        <v>10</v>
      </c>
      <c r="B11" s="0" t="n">
        <v>0</v>
      </c>
    </row>
    <row r="12" customFormat="false" ht="15.75" hidden="false" customHeight="true" outlineLevel="0" collapsed="false">
      <c r="A12" s="0" t="n">
        <v>11</v>
      </c>
      <c r="B12" s="0" t="n">
        <v>0</v>
      </c>
    </row>
    <row r="13" customFormat="false" ht="15.75" hidden="false" customHeight="true" outlineLevel="0" collapsed="false">
      <c r="A13" s="0" t="n">
        <v>12</v>
      </c>
      <c r="B13" s="0" t="n">
        <v>0</v>
      </c>
    </row>
    <row r="14" customFormat="false" ht="15.75" hidden="false" customHeight="true" outlineLevel="0" collapsed="false">
      <c r="A14" s="0" t="n">
        <v>13</v>
      </c>
      <c r="B14" s="0" t="n">
        <v>0</v>
      </c>
    </row>
    <row r="15" customFormat="false" ht="15.75" hidden="false" customHeight="true" outlineLevel="0" collapsed="false">
      <c r="A15" s="0" t="n">
        <v>14</v>
      </c>
      <c r="B15" s="0" t="n">
        <v>0</v>
      </c>
    </row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2026-01-08T08:10:07Z</dcterms:created>
  <dc:creator>Rojo Raben</dc:creator>
  <dc:description/>
  <dc:language>fr-FR</dc:language>
  <cp:lastModifiedBy/>
  <dcterms:modified xsi:type="dcterms:W3CDTF">2026-02-09T16:19:24Z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